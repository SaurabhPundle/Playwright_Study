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CommonError&amp;sloution" sheetId="1" r:id="rId1"/>
    <sheet name="Installed&amp;use" sheetId="2" r:id="rId2"/>
    <sheet name="Concepts&amp;Use" sheetId="3" r:id="rId3"/>
    <sheet name="Sheet1" sheetId="4" r:id="rId4"/>
  </sheets>
  <calcPr calcId="144525"/>
  <fileRecoveryPr repairLoad="1"/>
</workbook>
</file>

<file path=xl/calcChain.xml><?xml version="1.0" encoding="utf-8"?>
<calcChain xmlns="http://schemas.openxmlformats.org/spreadsheetml/2006/main">
  <c r="D9" i="4" l="1"/>
  <c r="C9" i="4"/>
  <c r="E9" i="4" s="1"/>
  <c r="B8" i="4"/>
</calcChain>
</file>

<file path=xl/sharedStrings.xml><?xml version="1.0" encoding="utf-8"?>
<sst xmlns="http://schemas.openxmlformats.org/spreadsheetml/2006/main" count="192" uniqueCount="188">
  <si>
    <t xml:space="preserve">Error </t>
  </si>
  <si>
    <t>Solution</t>
  </si>
  <si>
    <t>Error: No tests found.</t>
  </si>
  <si>
    <t>Sr no</t>
  </si>
  <si>
    <t>please check path of script , npx playwright test path</t>
  </si>
  <si>
    <t>if path is correct ,Playwright looks for files like: *.spec.js,*.test.js and test('name', async () =&gt; {
  // test code
});</t>
  </si>
  <si>
    <t>npm install -g ts-node typescript</t>
  </si>
  <si>
    <t>Command</t>
  </si>
  <si>
    <t>Use</t>
  </si>
  <si>
    <t>Sr. no</t>
  </si>
  <si>
    <t>To run .ts file without *.spec.ts and async function</t>
  </si>
  <si>
    <t>ts-node filepath</t>
  </si>
  <si>
    <t>Sr.no</t>
  </si>
  <si>
    <t>use</t>
  </si>
  <si>
    <t>string.split("")</t>
  </si>
  <si>
    <t>Concept/method</t>
  </si>
  <si>
    <t>split string into substring and return as array</t>
  </si>
  <si>
    <t>string = "Madam"</t>
  </si>
  <si>
    <t>example (before)</t>
  </si>
  <si>
    <t>Result ( After)</t>
  </si>
  <si>
    <t>[ 'M', 'a', 'd', 'o', 'm' ]</t>
  </si>
  <si>
    <r>
      <t>reverse</t>
    </r>
    <r>
      <rPr>
        <sz val="11"/>
        <color rgb="FF000000"/>
        <rFont val="Consolas"/>
        <family val="3"/>
      </rPr>
      <t>()</t>
    </r>
  </si>
  <si>
    <t>reverse an array</t>
  </si>
  <si>
    <t>[ 'm', 'o', 'd', 'a', 'M' ]</t>
  </si>
  <si>
    <r>
      <t>join</t>
    </r>
    <r>
      <rPr>
        <sz val="11"/>
        <color rgb="FF000000"/>
        <rFont val="Consolas"/>
        <family val="3"/>
      </rPr>
      <t>(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)</t>
    </r>
  </si>
  <si>
    <t>Add all the elements of array into string</t>
  </si>
  <si>
    <t>modaM</t>
  </si>
  <si>
    <t>num % 10</t>
  </si>
  <si>
    <t xml:space="preserve"> modulus (remainder) operator gives last digit num</t>
  </si>
  <si>
    <t>1234 % 10</t>
  </si>
  <si>
    <t>123.4 =&gt; 4</t>
  </si>
  <si>
    <t>Math.floor(num / 10)</t>
  </si>
  <si>
    <t>Math.floor(num / 10) removes decimanl part</t>
  </si>
  <si>
    <t>Math.floor(1234 / 10)</t>
  </si>
  <si>
    <t>`  `</t>
  </si>
  <si>
    <t>templete literal to insert variable in string</t>
  </si>
  <si>
    <t>console.log(`${num} is a palindrome`);</t>
  </si>
  <si>
    <t>12321 is a palindrome</t>
  </si>
  <si>
    <t>select option from dropdown value</t>
  </si>
  <si>
    <t>page.locator.selectOptions(value/lable/index)</t>
  </si>
  <si>
    <t>page.selectOption(locator, value/lable/index)</t>
  </si>
  <si>
    <t>locator.inputValue()</t>
  </si>
  <si>
    <t>get selected option value from dropdown</t>
  </si>
  <si>
    <t>to compare two values</t>
  </si>
  <si>
    <t>locator.textContent</t>
  </si>
  <si>
    <t>.toBe(value)</t>
  </si>
  <si>
    <t>.tobe(visibleText)</t>
  </si>
  <si>
    <t>get selected option visible text from dropdown</t>
  </si>
  <si>
    <t>to compare two values (difference in ())</t>
  </si>
  <si>
    <t>page.locator().count()</t>
  </si>
  <si>
    <t>to count values from dropdwon</t>
  </si>
  <si>
    <t>filtering option at custom dropdown</t>
  </si>
  <si>
    <t>page.locator(hastext(""))</t>
  </si>
  <si>
    <t>page.waitForSelector()</t>
  </si>
  <si>
    <t>wait for selector to satisfy state</t>
  </si>
  <si>
    <t>allTextContents()</t>
  </si>
  <si>
    <t>textContent()</t>
  </si>
  <si>
    <t>to get one option print from dropdown</t>
  </si>
  <si>
    <t>to get more than one option from dropdown</t>
  </si>
  <si>
    <t>&amp;&amp;</t>
  </si>
  <si>
    <t>If text is:
null,undefined,"" (empty string),0,false
Then JavaScript stops immediately and doesn’t check .includes()</t>
  </si>
  <si>
    <t>page.frames().length</t>
  </si>
  <si>
    <t>returns array of frames</t>
  </si>
  <si>
    <t>net::ERR_INTERNET_DISCONNECTED</t>
  </si>
  <si>
    <t>please check internet connection</t>
  </si>
  <si>
    <t>page.frameLocator("Locator")</t>
  </si>
  <si>
    <t>#shopping tbody tr:nth-child(2) td:nth-child(1)</t>
  </si>
  <si>
    <t>:nth-child(num) used to get specific record(cell/row) from webtable</t>
  </si>
  <si>
    <t>page.locator().textContent();</t>
  </si>
  <si>
    <t>page.locator().allTextContents();</t>
  </si>
  <si>
    <t xml:space="preserve">to get text at single locator </t>
  </si>
  <si>
    <t>to get muliple text values</t>
  </si>
  <si>
    <t>page.locator()..filter({hasText:name});</t>
  </si>
  <si>
    <t>to filter values</t>
  </si>
  <si>
    <t xml:space="preserve"> Error: locator.check: Test ended.</t>
  </si>
  <si>
    <t>please check locator is correct or not</t>
  </si>
  <si>
    <t>Error: Malformed value</t>
  </si>
  <si>
    <t>pease check input formate matches with field formate</t>
  </si>
  <si>
    <t>Date()</t>
  </si>
  <si>
    <t>used to get current date and time</t>
  </si>
  <si>
    <t>.getDate()</t>
  </si>
  <si>
    <t>to get current day</t>
  </si>
  <si>
    <t>.getMonth()</t>
  </si>
  <si>
    <t>get current month</t>
  </si>
  <si>
    <t>.getFullYear()</t>
  </si>
  <si>
    <t>get current year</t>
  </si>
  <si>
    <t>padStart</t>
  </si>
  <si>
    <t xml:space="preserve">used to get validation of full lengh </t>
  </si>
  <si>
    <r>
      <t>month</t>
    </r>
    <r>
      <rPr>
        <sz val="11"/>
        <color rgb="FF000000"/>
        <rFont val="Consolas"/>
        <family val="3"/>
      </rPr>
      <t>.</t>
    </r>
    <r>
      <rPr>
        <sz val="11"/>
        <color rgb="FF795E26"/>
        <rFont val="Consolas"/>
        <family val="3"/>
      </rPr>
      <t>padStart</t>
    </r>
    <r>
      <rPr>
        <sz val="11"/>
        <color rgb="FF000000"/>
        <rFont val="Consolas"/>
        <family val="3"/>
      </rPr>
      <t>(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'0'</t>
    </r>
    <r>
      <rPr>
        <sz val="11"/>
        <color rgb="FF000000"/>
        <rFont val="Consolas"/>
        <family val="3"/>
      </rPr>
      <t>)</t>
    </r>
  </si>
  <si>
    <t>while(true)</t>
  </si>
  <si>
    <t>runs continously until condition meets</t>
  </si>
  <si>
    <t>to click on specific locator</t>
  </si>
  <si>
    <t>to right click</t>
  </si>
  <si>
    <t>page.click("locator",{button:'right'})</t>
  </si>
  <si>
    <t>page.locator.dblclick();</t>
  </si>
  <si>
    <t>to double click</t>
  </si>
  <si>
    <t>locator.hover();</t>
  </si>
  <si>
    <t>to mouse hover</t>
  </si>
  <si>
    <t>page.dragAndDrop(source locator,target locator)</t>
  </si>
  <si>
    <t>to drag and drop</t>
  </si>
  <si>
    <t>page.locator().dragto()</t>
  </si>
  <si>
    <t>page.mouse.wheel(pixel)</t>
  </si>
  <si>
    <t>page.locator().focus()</t>
  </si>
  <si>
    <t>to focus on element</t>
  </si>
  <si>
    <t>page.keyboard</t>
  </si>
  <si>
    <t>used to work with keyboard</t>
  </si>
  <si>
    <t xml:space="preserve"> Error: keyboard.press: Unknown key: "control"</t>
  </si>
  <si>
    <t>playwright is case sensitive "Control" is correct</t>
  </si>
  <si>
    <t>page.keyboard.down("Shift") /up</t>
  </si>
  <si>
    <t>to hold down /up key</t>
  </si>
  <si>
    <t>to upload file single/multiple --&gt; tag input attribute type =file</t>
  </si>
  <si>
    <t>if mutiple attribute is there then only we can upload multiple file</t>
  </si>
  <si>
    <t>path.join</t>
  </si>
  <si>
    <t>make sure that path works correctly across diff os , no need to give / for path</t>
  </si>
  <si>
    <t>page.setInputFiles("locator", filepath)</t>
  </si>
  <si>
    <t>Error: ENOENT: no such file or directory, 
stat 'C:\Users\admin\Desktop\Playwright_Study\tests\demo\data\uploads\one.txt'</t>
  </si>
  <si>
    <t>while uploadig file by setInputFile if path incorrect then shows this error , please check file/folder path</t>
  </si>
  <si>
    <r>
      <t>path</t>
    </r>
    <r>
      <rPr>
        <sz val="11"/>
        <color rgb="FF000000"/>
        <rFont val="Consolas"/>
        <family val="3"/>
      </rPr>
      <t>.</t>
    </r>
    <r>
      <rPr>
        <sz val="11"/>
        <color rgb="FF795E26"/>
        <rFont val="Consolas"/>
        <family val="3"/>
      </rPr>
      <t>join</t>
    </r>
    <r>
      <rPr>
        <sz val="11"/>
        <color rgb="FF000000"/>
        <rFont val="Consolas"/>
        <family val="3"/>
      </rPr>
      <t>(</t>
    </r>
    <r>
      <rPr>
        <sz val="11"/>
        <color rgb="FF001080"/>
        <rFont val="Consolas"/>
        <family val="3"/>
      </rPr>
      <t>process</t>
    </r>
    <r>
      <rPr>
        <sz val="11"/>
        <color rgb="FF000000"/>
        <rFont val="Consolas"/>
        <family val="3"/>
      </rPr>
      <t>.</t>
    </r>
    <r>
      <rPr>
        <sz val="11"/>
        <color rgb="FF795E26"/>
        <rFont val="Consolas"/>
        <family val="3"/>
      </rPr>
      <t>cwd</t>
    </r>
    <r>
      <rPr>
        <sz val="11"/>
        <color rgb="FF000000"/>
        <rFont val="Consolas"/>
        <family val="3"/>
      </rPr>
      <t>(),"data","uploads","one.txt"));</t>
    </r>
  </si>
  <si>
    <t>give file opth using , seperator</t>
  </si>
  <si>
    <t>TimeoutError: page.setInputFiles: Timeout 10000ms exceeded.</t>
  </si>
  <si>
    <t>if trying to handle correct locator inside frame without considering frame</t>
  </si>
  <si>
    <t>Date.now()</t>
  </si>
  <si>
    <t>used to identify screenshots uniquely without overwrite</t>
  </si>
  <si>
    <t>PA</t>
  </si>
  <si>
    <t>1st month cal</t>
  </si>
  <si>
    <t>procng fee</t>
  </si>
  <si>
    <t>igst</t>
  </si>
  <si>
    <t>EMI</t>
  </si>
  <si>
    <t>EMI INT</t>
  </si>
  <si>
    <t>Interest(16%)</t>
  </si>
  <si>
    <t>6 months cal</t>
  </si>
  <si>
    <t>.describe</t>
  </si>
  <si>
    <t>we can group or organize test cases</t>
  </si>
  <si>
    <t>Expect "toBeVisible" with timeout 5000ms</t>
  </si>
  <si>
    <t>element not loaded I 5 sec  , increase expect timeout / check locator is correct</t>
  </si>
  <si>
    <t>.toHaveText()</t>
  </si>
  <si>
    <t>complete match</t>
  </si>
  <si>
    <t>toContainText()</t>
  </si>
  <si>
    <t>partial match</t>
  </si>
  <si>
    <t>Error: locator.click: Unexpected token "&amp;" while parsing css selector "Alerts, Frame &amp; Windows". Did you mean to CSS.escape it?</t>
  </si>
  <si>
    <t>please check for correct locator</t>
  </si>
  <si>
    <t>protected Page : page</t>
  </si>
  <si>
    <t xml:space="preserve"> this class is use this page object and classes inherite use this</t>
  </si>
  <si>
    <t>it is the special function which runs automatically when you create object of class</t>
  </si>
  <si>
    <t>constructor</t>
  </si>
  <si>
    <t xml:space="preserve">extends </t>
  </si>
  <si>
    <t>use property and methods of specific class</t>
  </si>
  <si>
    <t>If child class has constructor it should pass perent class constructor</t>
  </si>
  <si>
    <t>validation only is in test case</t>
  </si>
  <si>
    <t>npm install @faker-js/faker</t>
  </si>
  <si>
    <t>used to generate random dynamic data</t>
  </si>
  <si>
    <t>npm install openai dotenv</t>
  </si>
  <si>
    <t>install open ai library to communicate ai model</t>
  </si>
  <si>
    <t>^ - not \d - digit /g globally</t>
  </si>
  <si>
    <t>regular expression "[^\d]/g"</t>
  </si>
  <si>
    <t>.innerText()</t>
  </si>
  <si>
    <t>get visible text</t>
  </si>
  <si>
    <t>Idempotent requests -Put,Patch, Delete</t>
  </si>
  <si>
    <t>server not changes as request is more than one</t>
  </si>
  <si>
    <t>Api</t>
  </si>
  <si>
    <t>fakeapi.com</t>
  </si>
  <si>
    <t>dummyjson.com</t>
  </si>
  <si>
    <t>page.locator().inputValue();</t>
  </si>
  <si>
    <t>store it in variable to find text box deaault vale</t>
  </si>
  <si>
    <t>Promise {
  &lt;pending&gt;,
  [Symbol(async_id_symbol)]: 34343,
  [Symbol(trigger_async_id_symbol)]: 16314,
  [Symbol(kResourceStore)]: undefined
}</t>
  </si>
  <si>
    <t>Print async playwright operation without await</t>
  </si>
  <si>
    <t>Nullish Coalescing Operator (??)</t>
  </si>
  <si>
    <t>0 is valid,
empty string is valid,
false is valid</t>
  </si>
  <si>
    <t xml:space="preserve">logical </t>
  </si>
  <si>
    <t>UI dev Guide</t>
  </si>
  <si>
    <t>Playwright</t>
  </si>
  <si>
    <t>script and execute</t>
  </si>
  <si>
    <t>step by step automation</t>
  </si>
  <si>
    <t>How to use programming inautomation</t>
  </si>
  <si>
    <t>npm install -g newman</t>
  </si>
  <si>
    <t>used to execute postman using cli or cicd</t>
  </si>
  <si>
    <t>webTechTalk</t>
  </si>
  <si>
    <t>find all matching elements with this locator</t>
  </si>
  <si>
    <t>page.$$</t>
  </si>
  <si>
    <t>.toBe(true)</t>
  </si>
  <si>
    <r>
      <t xml:space="preserve">value must be exactly </t>
    </r>
    <r>
      <rPr>
        <sz val="10"/>
        <color theme="1"/>
        <rFont val="Arial Unicode MS"/>
        <family val="2"/>
      </rPr>
      <t>true</t>
    </r>
  </si>
  <si>
    <t>.toBeTruthy()</t>
  </si>
  <si>
    <t>value can be any truthy value</t>
  </si>
  <si>
    <t>used to get frame from locator</t>
  </si>
  <si>
    <t>page.locator.Click({button:'right'})</t>
  </si>
  <si>
    <t>page.locator.Click()</t>
  </si>
  <si>
    <t>page.keyboard.press("btn to click" )</t>
  </si>
  <si>
    <t>press enter of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</si>
</sst>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A31515"/>
      <name val="Consolas"/>
      <family val="3"/>
    </font>
    <font>
      <sz val="11"/>
      <color rgb="FF795E26"/>
      <name val="Consolas"/>
      <family val="3"/>
    </font>
    <font>
      <sz val="11"/>
      <color rgb="FF008000"/>
      <name val="Consolas"/>
      <family val="3"/>
    </font>
    <font>
      <sz val="9"/>
      <color rgb="FF1F1F1F"/>
      <name val="Courier New"/>
      <family val="3"/>
    </font>
    <font>
      <sz val="11"/>
      <color rgb="FF0070C1"/>
      <name val="Consolas"/>
      <family val="3"/>
    </font>
    <font>
      <sz val="11"/>
      <color rgb="FF098658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001080"/>
      <name val="Consolas"/>
      <family val="3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1" sqref="B11"/>
    </sheetView>
  </sheetViews>
  <sheetFormatPr defaultRowHeight="15" x14ac:dyDescent="0.25"/>
  <cols>
    <col min="2" max="2" width="41.28515625" customWidth="1"/>
    <col min="3" max="3" width="130.7109375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>
        <v>1</v>
      </c>
      <c r="B2" t="s">
        <v>2</v>
      </c>
      <c r="C2" t="s">
        <v>4</v>
      </c>
    </row>
    <row r="3" spans="1:3" ht="45" x14ac:dyDescent="0.25">
      <c r="C3" s="1" t="s">
        <v>5</v>
      </c>
    </row>
    <row r="4" spans="1:3" x14ac:dyDescent="0.25">
      <c r="B4" s="4" t="s">
        <v>63</v>
      </c>
      <c r="C4" t="s">
        <v>64</v>
      </c>
    </row>
    <row r="5" spans="1:3" x14ac:dyDescent="0.25">
      <c r="B5" t="s">
        <v>74</v>
      </c>
      <c r="C5" t="s">
        <v>75</v>
      </c>
    </row>
    <row r="6" spans="1:3" x14ac:dyDescent="0.25">
      <c r="B6" t="s">
        <v>76</v>
      </c>
      <c r="C6" t="s">
        <v>77</v>
      </c>
    </row>
    <row r="7" spans="1:3" x14ac:dyDescent="0.25">
      <c r="B7" t="s">
        <v>106</v>
      </c>
      <c r="C7" t="s">
        <v>107</v>
      </c>
    </row>
    <row r="8" spans="1:3" ht="60" x14ac:dyDescent="0.25">
      <c r="B8" s="1" t="s">
        <v>115</v>
      </c>
      <c r="C8" t="s">
        <v>116</v>
      </c>
    </row>
    <row r="9" spans="1:3" x14ac:dyDescent="0.25">
      <c r="B9" t="s">
        <v>119</v>
      </c>
      <c r="C9" t="s">
        <v>120</v>
      </c>
    </row>
    <row r="10" spans="1:3" x14ac:dyDescent="0.25">
      <c r="B10" t="s">
        <v>133</v>
      </c>
      <c r="C10" t="s">
        <v>134</v>
      </c>
    </row>
    <row r="11" spans="1:3" x14ac:dyDescent="0.25">
      <c r="B11" t="s">
        <v>139</v>
      </c>
      <c r="C11" t="s">
        <v>140</v>
      </c>
    </row>
    <row r="12" spans="1:3" ht="90" x14ac:dyDescent="0.25">
      <c r="B12" s="1" t="s">
        <v>164</v>
      </c>
      <c r="C12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3" sqref="C13"/>
    </sheetView>
  </sheetViews>
  <sheetFormatPr defaultRowHeight="15" x14ac:dyDescent="0.25"/>
  <cols>
    <col min="2" max="2" width="30.28515625" bestFit="1" customWidth="1"/>
    <col min="3" max="3" width="46" customWidth="1"/>
  </cols>
  <sheetData>
    <row r="1" spans="1:3" x14ac:dyDescent="0.25">
      <c r="A1" t="s">
        <v>9</v>
      </c>
      <c r="B1" t="s">
        <v>7</v>
      </c>
      <c r="C1" t="s">
        <v>8</v>
      </c>
    </row>
    <row r="2" spans="1:3" x14ac:dyDescent="0.25">
      <c r="A2">
        <v>1</v>
      </c>
      <c r="B2" t="s">
        <v>6</v>
      </c>
      <c r="C2" t="s">
        <v>10</v>
      </c>
    </row>
    <row r="3" spans="1:3" x14ac:dyDescent="0.25">
      <c r="C3" t="s">
        <v>11</v>
      </c>
    </row>
    <row r="4" spans="1:3" x14ac:dyDescent="0.25">
      <c r="A4">
        <v>2</v>
      </c>
      <c r="B4" t="s">
        <v>149</v>
      </c>
      <c r="C4" t="s">
        <v>150</v>
      </c>
    </row>
    <row r="5" spans="1:3" x14ac:dyDescent="0.25">
      <c r="A5">
        <v>3</v>
      </c>
      <c r="B5" t="s">
        <v>151</v>
      </c>
      <c r="C5" t="s">
        <v>152</v>
      </c>
    </row>
    <row r="6" spans="1:3" x14ac:dyDescent="0.25">
      <c r="A6">
        <v>4</v>
      </c>
      <c r="B6" t="s">
        <v>174</v>
      </c>
      <c r="C6" t="s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opLeftCell="A54" zoomScale="130" zoomScaleNormal="130" workbookViewId="0">
      <selection activeCell="B62" sqref="B62"/>
    </sheetView>
  </sheetViews>
  <sheetFormatPr defaultRowHeight="15" x14ac:dyDescent="0.25"/>
  <cols>
    <col min="1" max="1" width="5.5703125" bestFit="1" customWidth="1"/>
    <col min="2" max="2" width="63.42578125" bestFit="1" customWidth="1"/>
    <col min="3" max="3" width="74.5703125" bestFit="1" customWidth="1"/>
    <col min="4" max="4" width="16" customWidth="1"/>
    <col min="5" max="5" width="22.28515625" customWidth="1"/>
    <col min="6" max="6" width="13.140625" bestFit="1" customWidth="1"/>
  </cols>
  <sheetData>
    <row r="1" spans="1:5" x14ac:dyDescent="0.25">
      <c r="A1" t="s">
        <v>12</v>
      </c>
      <c r="B1" t="s">
        <v>15</v>
      </c>
      <c r="C1" t="s">
        <v>13</v>
      </c>
      <c r="D1" t="s">
        <v>18</v>
      </c>
      <c r="E1" t="s">
        <v>19</v>
      </c>
    </row>
    <row r="2" spans="1:5" x14ac:dyDescent="0.25">
      <c r="A2">
        <v>1</v>
      </c>
      <c r="B2" t="s">
        <v>14</v>
      </c>
      <c r="C2" t="s">
        <v>16</v>
      </c>
      <c r="D2" t="s">
        <v>17</v>
      </c>
      <c r="E2" t="s">
        <v>20</v>
      </c>
    </row>
    <row r="3" spans="1:5" x14ac:dyDescent="0.25">
      <c r="A3">
        <v>2</v>
      </c>
      <c r="B3" s="2" t="s">
        <v>21</v>
      </c>
      <c r="C3" t="s">
        <v>22</v>
      </c>
      <c r="D3" t="s">
        <v>20</v>
      </c>
      <c r="E3" s="2" t="s">
        <v>23</v>
      </c>
    </row>
    <row r="4" spans="1:5" x14ac:dyDescent="0.25">
      <c r="A4">
        <v>3</v>
      </c>
      <c r="B4" s="2" t="s">
        <v>24</v>
      </c>
      <c r="C4" t="s">
        <v>25</v>
      </c>
      <c r="D4" s="2" t="s">
        <v>23</v>
      </c>
      <c r="E4" t="s">
        <v>26</v>
      </c>
    </row>
    <row r="5" spans="1:5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</row>
    <row r="6" spans="1:5" x14ac:dyDescent="0.25">
      <c r="A6">
        <v>5</v>
      </c>
      <c r="B6" t="s">
        <v>31</v>
      </c>
      <c r="C6" t="s">
        <v>32</v>
      </c>
      <c r="D6" t="s">
        <v>33</v>
      </c>
      <c r="E6">
        <v>123</v>
      </c>
    </row>
    <row r="7" spans="1:5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</row>
    <row r="8" spans="1:5" x14ac:dyDescent="0.25">
      <c r="A8">
        <v>7</v>
      </c>
      <c r="B8" t="s">
        <v>39</v>
      </c>
      <c r="C8" s="11" t="s">
        <v>38</v>
      </c>
    </row>
    <row r="9" spans="1:5" x14ac:dyDescent="0.25">
      <c r="A9">
        <v>8</v>
      </c>
      <c r="B9" t="s">
        <v>40</v>
      </c>
      <c r="C9" s="11"/>
    </row>
    <row r="10" spans="1:5" x14ac:dyDescent="0.25">
      <c r="B10" t="s">
        <v>41</v>
      </c>
      <c r="C10" t="s">
        <v>42</v>
      </c>
    </row>
    <row r="11" spans="1:5" x14ac:dyDescent="0.25">
      <c r="B11" t="s">
        <v>45</v>
      </c>
      <c r="C11" t="s">
        <v>43</v>
      </c>
    </row>
    <row r="12" spans="1:5" x14ac:dyDescent="0.25">
      <c r="B12" t="s">
        <v>44</v>
      </c>
      <c r="C12" t="s">
        <v>47</v>
      </c>
    </row>
    <row r="13" spans="1:5" x14ac:dyDescent="0.25">
      <c r="B13" t="s">
        <v>46</v>
      </c>
      <c r="C13" t="s">
        <v>48</v>
      </c>
    </row>
    <row r="14" spans="1:5" x14ac:dyDescent="0.25">
      <c r="B14" t="s">
        <v>49</v>
      </c>
      <c r="C14" t="s">
        <v>50</v>
      </c>
    </row>
    <row r="15" spans="1:5" x14ac:dyDescent="0.25">
      <c r="B15" t="s">
        <v>52</v>
      </c>
      <c r="C15" t="s">
        <v>51</v>
      </c>
    </row>
    <row r="16" spans="1:5" x14ac:dyDescent="0.25">
      <c r="B16" t="s">
        <v>53</v>
      </c>
      <c r="C16" t="s">
        <v>54</v>
      </c>
    </row>
    <row r="17" spans="2:4" x14ac:dyDescent="0.25">
      <c r="B17" t="s">
        <v>56</v>
      </c>
      <c r="C17" t="s">
        <v>57</v>
      </c>
    </row>
    <row r="18" spans="2:4" x14ac:dyDescent="0.25">
      <c r="B18" t="s">
        <v>55</v>
      </c>
      <c r="C18" t="s">
        <v>58</v>
      </c>
    </row>
    <row r="19" spans="2:4" ht="210" x14ac:dyDescent="0.25">
      <c r="B19" t="s">
        <v>59</v>
      </c>
      <c r="C19" s="1" t="s">
        <v>60</v>
      </c>
    </row>
    <row r="20" spans="2:4" x14ac:dyDescent="0.25">
      <c r="B20" s="3" t="s">
        <v>61</v>
      </c>
      <c r="C20" s="3" t="s">
        <v>62</v>
      </c>
    </row>
    <row r="21" spans="2:4" x14ac:dyDescent="0.25">
      <c r="B21" s="2" t="s">
        <v>65</v>
      </c>
      <c r="C21" t="s">
        <v>183</v>
      </c>
    </row>
    <row r="22" spans="2:4" x14ac:dyDescent="0.25">
      <c r="B22" t="s">
        <v>66</v>
      </c>
      <c r="C22" t="s">
        <v>67</v>
      </c>
    </row>
    <row r="23" spans="2:4" x14ac:dyDescent="0.25">
      <c r="B23" t="s">
        <v>68</v>
      </c>
      <c r="C23" t="s">
        <v>70</v>
      </c>
    </row>
    <row r="24" spans="2:4" x14ac:dyDescent="0.25">
      <c r="B24" t="s">
        <v>69</v>
      </c>
      <c r="C24" t="s">
        <v>71</v>
      </c>
    </row>
    <row r="25" spans="2:4" x14ac:dyDescent="0.25">
      <c r="B25" t="s">
        <v>72</v>
      </c>
      <c r="C25" t="s">
        <v>73</v>
      </c>
    </row>
    <row r="26" spans="2:4" x14ac:dyDescent="0.25">
      <c r="B26" t="s">
        <v>78</v>
      </c>
      <c r="C26" t="s">
        <v>79</v>
      </c>
    </row>
    <row r="27" spans="2:4" x14ac:dyDescent="0.25">
      <c r="B27" t="s">
        <v>80</v>
      </c>
      <c r="C27" t="s">
        <v>81</v>
      </c>
    </row>
    <row r="28" spans="2:4" x14ac:dyDescent="0.25">
      <c r="B28" t="s">
        <v>82</v>
      </c>
      <c r="C28" t="s">
        <v>83</v>
      </c>
    </row>
    <row r="29" spans="2:4" x14ac:dyDescent="0.25">
      <c r="B29" t="s">
        <v>84</v>
      </c>
      <c r="C29" t="s">
        <v>85</v>
      </c>
    </row>
    <row r="30" spans="2:4" x14ac:dyDescent="0.25">
      <c r="B30" s="2" t="s">
        <v>86</v>
      </c>
      <c r="C30" t="s">
        <v>87</v>
      </c>
      <c r="D30" s="5" t="s">
        <v>88</v>
      </c>
    </row>
    <row r="31" spans="2:4" x14ac:dyDescent="0.25">
      <c r="B31" t="s">
        <v>89</v>
      </c>
      <c r="C31" t="s">
        <v>90</v>
      </c>
    </row>
    <row r="32" spans="2:4" x14ac:dyDescent="0.25">
      <c r="B32" t="s">
        <v>185</v>
      </c>
      <c r="C32" t="s">
        <v>91</v>
      </c>
    </row>
    <row r="33" spans="2:3" x14ac:dyDescent="0.25">
      <c r="B33" t="s">
        <v>184</v>
      </c>
      <c r="C33" t="s">
        <v>92</v>
      </c>
    </row>
    <row r="34" spans="2:3" x14ac:dyDescent="0.25">
      <c r="B34" t="s">
        <v>93</v>
      </c>
    </row>
    <row r="35" spans="2:3" x14ac:dyDescent="0.25">
      <c r="B35" t="s">
        <v>94</v>
      </c>
      <c r="C35" t="s">
        <v>95</v>
      </c>
    </row>
    <row r="36" spans="2:3" x14ac:dyDescent="0.25">
      <c r="B36" t="s">
        <v>96</v>
      </c>
      <c r="C36" t="s">
        <v>97</v>
      </c>
    </row>
    <row r="37" spans="2:3" x14ac:dyDescent="0.25">
      <c r="B37" t="s">
        <v>98</v>
      </c>
      <c r="C37" t="s">
        <v>99</v>
      </c>
    </row>
    <row r="38" spans="2:3" x14ac:dyDescent="0.25">
      <c r="B38" t="s">
        <v>100</v>
      </c>
      <c r="C38" t="s">
        <v>99</v>
      </c>
    </row>
    <row r="39" spans="2:3" x14ac:dyDescent="0.25">
      <c r="B39" t="s">
        <v>101</v>
      </c>
    </row>
    <row r="40" spans="2:3" x14ac:dyDescent="0.25">
      <c r="B40" t="s">
        <v>102</v>
      </c>
      <c r="C40" t="s">
        <v>103</v>
      </c>
    </row>
    <row r="41" spans="2:3" x14ac:dyDescent="0.25">
      <c r="B41" t="s">
        <v>104</v>
      </c>
      <c r="C41" t="s">
        <v>105</v>
      </c>
    </row>
    <row r="42" spans="2:3" x14ac:dyDescent="0.25">
      <c r="B42" t="s">
        <v>186</v>
      </c>
      <c r="C42" t="s">
        <v>187</v>
      </c>
    </row>
    <row r="43" spans="2:3" x14ac:dyDescent="0.25">
      <c r="B43" t="s">
        <v>108</v>
      </c>
      <c r="C43" t="s">
        <v>109</v>
      </c>
    </row>
    <row r="44" spans="2:3" x14ac:dyDescent="0.25">
      <c r="B44" t="s">
        <v>114</v>
      </c>
      <c r="C44" t="s">
        <v>110</v>
      </c>
    </row>
    <row r="45" spans="2:3" x14ac:dyDescent="0.25">
      <c r="C45" t="s">
        <v>111</v>
      </c>
    </row>
    <row r="46" spans="2:3" x14ac:dyDescent="0.25">
      <c r="B46" t="s">
        <v>112</v>
      </c>
      <c r="C46" t="s">
        <v>113</v>
      </c>
    </row>
    <row r="47" spans="2:3" x14ac:dyDescent="0.25">
      <c r="B47" s="5" t="s">
        <v>117</v>
      </c>
      <c r="C47" t="s">
        <v>118</v>
      </c>
    </row>
    <row r="48" spans="2:3" x14ac:dyDescent="0.25">
      <c r="B48" t="s">
        <v>121</v>
      </c>
      <c r="C48" t="s">
        <v>122</v>
      </c>
    </row>
    <row r="49" spans="2:7" x14ac:dyDescent="0.25">
      <c r="B49" t="s">
        <v>131</v>
      </c>
      <c r="C49" t="s">
        <v>132</v>
      </c>
    </row>
    <row r="50" spans="2:7" x14ac:dyDescent="0.25">
      <c r="B50" t="s">
        <v>135</v>
      </c>
      <c r="C50" t="s">
        <v>136</v>
      </c>
    </row>
    <row r="51" spans="2:7" x14ac:dyDescent="0.25">
      <c r="B51" t="s">
        <v>137</v>
      </c>
      <c r="C51" t="s">
        <v>138</v>
      </c>
    </row>
    <row r="52" spans="2:7" x14ac:dyDescent="0.25">
      <c r="B52" t="s">
        <v>141</v>
      </c>
      <c r="C52" t="s">
        <v>142</v>
      </c>
    </row>
    <row r="53" spans="2:7" x14ac:dyDescent="0.25">
      <c r="B53" t="s">
        <v>144</v>
      </c>
      <c r="C53" t="s">
        <v>143</v>
      </c>
    </row>
    <row r="54" spans="2:7" x14ac:dyDescent="0.25">
      <c r="B54" t="s">
        <v>145</v>
      </c>
      <c r="C54" t="s">
        <v>146</v>
      </c>
    </row>
    <row r="55" spans="2:7" x14ac:dyDescent="0.25">
      <c r="C55" t="s">
        <v>147</v>
      </c>
    </row>
    <row r="56" spans="2:7" x14ac:dyDescent="0.25">
      <c r="C56" t="s">
        <v>148</v>
      </c>
    </row>
    <row r="57" spans="2:7" x14ac:dyDescent="0.25">
      <c r="B57" t="s">
        <v>154</v>
      </c>
      <c r="C57" s="6" t="s">
        <v>153</v>
      </c>
      <c r="D57" s="6"/>
      <c r="E57" s="6"/>
      <c r="F57" s="6"/>
      <c r="G57" s="6"/>
    </row>
    <row r="58" spans="2:7" x14ac:dyDescent="0.25">
      <c r="B58" t="s">
        <v>155</v>
      </c>
      <c r="C58" s="6" t="s">
        <v>156</v>
      </c>
      <c r="D58" s="6"/>
      <c r="E58" s="6"/>
      <c r="F58" s="6"/>
      <c r="G58" s="6"/>
    </row>
    <row r="59" spans="2:7" x14ac:dyDescent="0.25">
      <c r="B59" t="s">
        <v>157</v>
      </c>
      <c r="C59" t="s">
        <v>158</v>
      </c>
    </row>
    <row r="60" spans="2:7" x14ac:dyDescent="0.25">
      <c r="B60" t="s">
        <v>162</v>
      </c>
      <c r="C60" t="s">
        <v>163</v>
      </c>
    </row>
    <row r="61" spans="2:7" ht="90" x14ac:dyDescent="0.25">
      <c r="B61" t="s">
        <v>166</v>
      </c>
      <c r="C61" s="1" t="s">
        <v>167</v>
      </c>
    </row>
    <row r="62" spans="2:7" x14ac:dyDescent="0.25">
      <c r="B62" t="s">
        <v>178</v>
      </c>
      <c r="C62" t="s">
        <v>177</v>
      </c>
    </row>
    <row r="63" spans="2:7" ht="15.75" x14ac:dyDescent="0.3">
      <c r="B63" t="s">
        <v>179</v>
      </c>
      <c r="C63" t="s">
        <v>180</v>
      </c>
    </row>
    <row r="64" spans="2:7" x14ac:dyDescent="0.25">
      <c r="B64" t="s">
        <v>181</v>
      </c>
      <c r="C64" t="s">
        <v>182</v>
      </c>
    </row>
    <row r="68" spans="3:7" x14ac:dyDescent="0.25">
      <c r="C68" s="6"/>
      <c r="D68" s="6"/>
      <c r="E68" s="6"/>
      <c r="F68" s="6"/>
      <c r="G68" s="6"/>
    </row>
  </sheetData>
  <mergeCells count="1">
    <mergeCell ref="C8:C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A4" workbookViewId="0">
      <selection activeCell="B14" sqref="B14"/>
    </sheetView>
  </sheetViews>
  <sheetFormatPr defaultRowHeight="15" x14ac:dyDescent="0.25"/>
  <cols>
    <col min="6" max="6" width="12.28515625" bestFit="1" customWidth="1"/>
    <col min="8" max="8" width="10.42578125" bestFit="1" customWidth="1"/>
  </cols>
  <sheetData>
    <row r="1" spans="1:12" x14ac:dyDescent="0.25">
      <c r="A1" s="6"/>
      <c r="B1" s="6"/>
      <c r="C1" s="12" t="s">
        <v>130</v>
      </c>
      <c r="D1" s="12"/>
      <c r="E1" s="6"/>
    </row>
    <row r="2" spans="1:12" x14ac:dyDescent="0.25">
      <c r="A2" s="6"/>
      <c r="B2" s="6"/>
      <c r="C2" s="9" t="s">
        <v>123</v>
      </c>
      <c r="D2" s="9" t="s">
        <v>129</v>
      </c>
      <c r="E2" s="6"/>
    </row>
    <row r="3" spans="1:12" x14ac:dyDescent="0.25">
      <c r="A3" s="12" t="s">
        <v>124</v>
      </c>
      <c r="B3" s="12"/>
      <c r="C3" s="9">
        <v>7253</v>
      </c>
      <c r="D3" s="9">
        <v>980</v>
      </c>
      <c r="E3" s="6"/>
    </row>
    <row r="4" spans="1:12" x14ac:dyDescent="0.25">
      <c r="A4" s="9" t="s">
        <v>125</v>
      </c>
      <c r="B4" s="9">
        <v>299</v>
      </c>
      <c r="C4" s="9">
        <v>7350</v>
      </c>
      <c r="D4" s="9">
        <v>503</v>
      </c>
      <c r="E4" s="6"/>
    </row>
    <row r="5" spans="1:12" x14ac:dyDescent="0.25">
      <c r="A5" s="9" t="s">
        <v>126</v>
      </c>
      <c r="B5" s="9">
        <v>53.82</v>
      </c>
      <c r="C5" s="9">
        <v>7448</v>
      </c>
      <c r="D5" s="9">
        <v>405</v>
      </c>
      <c r="E5" s="6"/>
    </row>
    <row r="6" spans="1:12" x14ac:dyDescent="0.25">
      <c r="A6" s="9" t="s">
        <v>127</v>
      </c>
      <c r="B6" s="9">
        <v>7253</v>
      </c>
      <c r="C6" s="9">
        <v>7547</v>
      </c>
      <c r="D6" s="9">
        <v>306</v>
      </c>
      <c r="E6" s="6"/>
    </row>
    <row r="7" spans="1:12" x14ac:dyDescent="0.25">
      <c r="A7" s="9" t="s">
        <v>128</v>
      </c>
      <c r="B7" s="9">
        <v>980</v>
      </c>
      <c r="C7" s="9">
        <v>7648</v>
      </c>
      <c r="D7" s="9">
        <v>205</v>
      </c>
      <c r="E7" s="6"/>
    </row>
    <row r="8" spans="1:12" x14ac:dyDescent="0.25">
      <c r="A8" s="6"/>
      <c r="B8" s="8">
        <f>SUM(B4:B7)</f>
        <v>8585.82</v>
      </c>
      <c r="C8" s="9">
        <v>7750</v>
      </c>
      <c r="D8" s="9">
        <v>103</v>
      </c>
      <c r="E8" s="6"/>
    </row>
    <row r="9" spans="1:12" x14ac:dyDescent="0.25">
      <c r="A9" s="6"/>
      <c r="B9" s="6"/>
      <c r="C9" s="10">
        <f>SUM(C3:C8)</f>
        <v>44996</v>
      </c>
      <c r="D9" s="10">
        <f>SUM(D3:D8)</f>
        <v>2502</v>
      </c>
      <c r="E9" s="7">
        <f>C9+D9</f>
        <v>47498</v>
      </c>
    </row>
    <row r="13" spans="1:12" x14ac:dyDescent="0.25">
      <c r="A13" t="s">
        <v>159</v>
      </c>
      <c r="B13" t="s">
        <v>160</v>
      </c>
      <c r="E13" t="s">
        <v>168</v>
      </c>
      <c r="F13" t="s">
        <v>169</v>
      </c>
      <c r="H13" t="s">
        <v>170</v>
      </c>
      <c r="I13" t="s">
        <v>171</v>
      </c>
      <c r="L13" t="s">
        <v>173</v>
      </c>
    </row>
    <row r="14" spans="1:12" x14ac:dyDescent="0.25">
      <c r="B14" t="s">
        <v>161</v>
      </c>
      <c r="F14" t="s">
        <v>176</v>
      </c>
      <c r="I14" t="s">
        <v>172</v>
      </c>
      <c r="L14" t="s">
        <v>171</v>
      </c>
    </row>
  </sheetData>
  <mergeCells count="2">
    <mergeCell ref="A3:B3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CommonError&amp;sloution</vt:lpstr>
      <vt:lpstr>Installed&amp;use</vt:lpstr>
      <vt:lpstr>Concepts&amp;Use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2026-04-18T06:08:01Z</dcterms:created>
  <dcterms:modified xsi:type="dcterms:W3CDTF">2026-07-18T02:30:37Z</dcterms:modified>
</cp:coreProperties>
</file>